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7b668a03b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 Preview" sheetId="1" r:id="R17e1913e26c14784"/>
    <x:sheet xmlns:r="http://schemas.openxmlformats.org/officeDocument/2006/relationships" name="Distributor Report" sheetId="2" r:id="Rc80a4737f706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-mmm-yyyy"/>
  </x:numFmts>
  <x:fonts count="6">
    <x:font>
      <x:sz val="11"/>
      <x:name val="Carlito"/>
    </x:font>
    <x:font>
      <x:b/>
      <x:sz val="16"/>
      <x:color rgb="FF24364B"/>
      <x:name val="Arial"/>
    </x:font>
    <x:font>
      <x:i/>
      <x:sz val="10"/>
      <x:color rgb="FF667085"/>
      <x:name val="Arial"/>
    </x:font>
    <x:font>
      <x:b/>
      <x:sz val="10"/>
      <x:color rgb="FF24364B"/>
      <x:name val="Arial"/>
    </x:font>
    <x:font>
      <x:sz val="10"/>
      <x:color rgb="FF24364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6F4F1"/>
      </x:patternFill>
    </x:fill>
    <x:fill>
      <x:patternFill patternType="solid">
        <x:fgColor rgb="FF115E59"/>
      </x:patternFill>
    </x:fill>
    <x:fill>
      <x:patternFill patternType="solid">
        <x:fgColor rgb="FFFFFBEA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0F766E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CBD5D8"/>
      </x:left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B"/>
        </x:patternFill>
      </x:fill>
    </x:dxf>
    <x:dxf>
      <x:font>
        <x:b/>
        <x:color rgb="FF9A5C00"/>
      </x:font>
      <x:fill>
        <x:patternFill patternType="solid">
          <x:bgColor rgb="FFFFF3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bd80753bb47e6" /><Relationship Type="http://schemas.openxmlformats.org/officeDocument/2006/relationships/theme" Target="/xl/theme/theme1.xml" Id="R3f7490d74bec4748" /><Relationship Type="http://schemas.openxmlformats.org/officeDocument/2006/relationships/sharedStrings" Target="/xl/sharedStrings.xml" Id="Rb542c32a91554ed9" /><Relationship Type="http://schemas.openxmlformats.org/officeDocument/2006/relationships/worksheet" Target="/xl/worksheets/sheet1.xml" Id="R17e1913e26c14784" /><Relationship Type="http://schemas.openxmlformats.org/officeDocument/2006/relationships/worksheet" Target="/xl/worksheets/sheet2.xml" Id="Rc80a4737f7064040" /></Relationships>
</file>

<file path=xl/tables/table1.xml><?xml version="1.0" encoding="utf-8"?>
<x:table xmlns:x="http://schemas.openxmlformats.org/spreadsheetml/2006/main" id="1" name="DistributorStockTable" displayName="DistributorStockTable" ref="A1:P11" headerRowCount="1" totalsRowCount="0" totalsRowShown="0">
  <x:tableColumns count="16">
    <x:tableColumn id="1" name="Template Version"/>
    <x:tableColumn id="2" name="Distributor Code"/>
    <x:tableColumn id="3" name="Distributor Name"/>
    <x:tableColumn id="4" name="Reporting Period Start"/>
    <x:tableColumn id="5" name="Reporting Period End"/>
    <x:tableColumn id="6" name="Operational Unit Code"/>
    <x:tableColumn id="7" name="Product Code"/>
    <x:tableColumn id="8" name="Product Name"/>
    <x:tableColumn id="9" name="Therapy Area"/>
    <x:tableColumn id="10" name="Batch Number"/>
    <x:tableColumn id="11" name="Opening Stock (Packs)"/>
    <x:tableColumn id="12" name="Quantity Received (Packs)"/>
    <x:tableColumn id="13" name="Onward Sales (Packs)"/>
    <x:tableColumn id="14" name="Accepted Returns (Packs)"/>
    <x:tableColumn id="15" name="Approved Adjustments (Packs)"/>
    <x:tableColumn id="16" name="Reported Closing Stock (Pack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51ec8c75514d18" /></Relationships>
</file>

<file path=xl/worksheets/sheet1.xml><?xml version="1.0" encoding="utf-8"?>
<x:worksheet xmlns:x="http://schemas.openxmlformats.org/spreadsheetml/2006/main">
  <x:sheetPr>
    <x:tabColor rgb="FF115E59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17" hidden="0" customWidth="1"/>
    <x:col min="8" max="8" width="13" hidden="0" customWidth="1"/>
    <x:col min="9" max="9" width="17" hidden="0" customWidth="1"/>
    <x:col min="10" max="10" width="17" hidden="0" customWidth="1"/>
    <x:col min="11" max="11" width="12" hidden="0" customWidth="1"/>
    <x:col min="12" max="12" width="19" hidden="0" customWidth="1"/>
  </x:cols>
  <x:sheetData>
    <x:row r="2">
      <x:c r="A2" s="1" t="str">
        <x:v>Distributor sales and stock reconciliation preview</x:v>
      </x:c>
    </x:row>
    <x:row r="3">
      <x:c r="A3" s="2" t="str">
        <x:v>Expected closing stock is calculated from the submitted report. Two sample exceptions are included for review.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>
      <x:c r="A6" s="5" t="str">
        <x:v>Matched lines</x:v>
      </x:c>
      <x:c r="B6" s="7" t="n">
        <x:f>COUNTIFS(L11:L20,"Matched")</x:f>
        <x:v>8</x:v>
      </x:c>
    </x:row>
    <x:row r="7">
      <x:c r="A7" s="5" t="str">
        <x:v>Lines needing review</x:v>
      </x:c>
      <x:c r="B7" s="7" t="n">
        <x:f>COUNTIFS(L11:L20,"Review required")</x:f>
        <x:v>2</x:v>
      </x:c>
    </x:row>
    <x:row r="8">
      <x:c r="A8" s="5" t="str">
        <x:v>Net variance (packs)</x:v>
      </x:c>
      <x:c r="B8" s="7" t="n">
        <x:f>SUM(K11:K20)</x:f>
        <x:v>1</x:v>
      </x:c>
    </x:row>
    <x:row r="10" ht="32" customHeight="1">
      <x:c r="A10" s="19" t="str">
        <x:v>Product Code</x:v>
      </x:c>
      <x:c r="B10" s="20" t="str">
        <x:v>Product Name</x:v>
      </x:c>
      <x:c r="C10" s="20" t="str">
        <x:v>Batch Number</x:v>
      </x:c>
      <x:c r="D10" s="20" t="str">
        <x:v>Opening</x:v>
      </x:c>
      <x:c r="E10" s="20" t="str">
        <x:v>Received</x:v>
      </x:c>
      <x:c r="F10" s="20" t="str">
        <x:v>Onward Sales</x:v>
      </x:c>
      <x:c r="G10" s="20" t="str">
        <x:v>Accepted Returns</x:v>
      </x:c>
      <x:c r="H10" s="20" t="str">
        <x:v>Adjustments</x:v>
      </x:c>
      <x:c r="I10" s="20" t="str">
        <x:v>Expected Closing</x:v>
      </x:c>
      <x:c r="J10" s="20" t="str">
        <x:v>Reported Closing</x:v>
      </x:c>
      <x:c r="K10" s="20" t="str">
        <x:v>Variance</x:v>
      </x:c>
      <x:c r="L10" s="24" t="str">
        <x:v>Status</x:v>
      </x:c>
    </x:row>
    <x:row r="11" ht="22" customHeight="1">
      <x:c r="A11" s="22" t="str">
        <x:f>'Distributor Report'!G2</x:f>
        <x:v>ML-D650</x:v>
      </x:c>
      <x:c r="B11" s="22" t="str">
        <x:f>'Distributor Report'!H2</x:f>
        <x:v>Dolo-650</x:v>
      </x:c>
      <x:c r="C11" s="22" t="str">
        <x:f>'Distributor Report'!J2</x:f>
        <x:v>SYN-D650-001</x:v>
      </x:c>
      <x:c r="D11" s="23" t="n">
        <x:f>'Distributor Report'!K2</x:f>
        <x:v>0</x:v>
      </x:c>
      <x:c r="E11" s="23" t="n">
        <x:f>'Distributor Report'!L2</x:f>
        <x:v>100</x:v>
      </x:c>
      <x:c r="F11" s="23" t="n">
        <x:f>'Distributor Report'!M2</x:f>
        <x:v>70</x:v>
      </x:c>
      <x:c r="G11" s="23" t="n">
        <x:f>'Distributor Report'!N2</x:f>
        <x:v>0</x:v>
      </x:c>
      <x:c r="H11" s="23" t="n">
        <x:f>'Distributor Report'!O2</x:f>
        <x:v>0</x:v>
      </x:c>
      <x:c r="I11" s="23" t="n">
        <x:f>D11+E11-F11-G11+H11</x:f>
        <x:v>30</x:v>
      </x:c>
      <x:c r="J11" s="23" t="n">
        <x:f>'Distributor Report'!P2</x:f>
        <x:v>28</x:v>
      </x:c>
      <x:c r="K11" s="23" t="n">
        <x:f>J11-I11</x:f>
        <x:v>-2</x:v>
      </x:c>
      <x:c r="L11" s="25" t="str">
        <x:f>IF(K11=0,"Matched","Review required")</x:f>
        <x:v>Review required</x:v>
      </x:c>
    </x:row>
    <x:row r="12" ht="22" customHeight="1">
      <x:c r="A12" s="22" t="str">
        <x:f>'Distributor Report'!G3</x:f>
        <x:v>ML-D500</x:v>
      </x:c>
      <x:c r="B12" s="22" t="str">
        <x:f>'Distributor Report'!H3</x:f>
        <x:v>Dolo-500</x:v>
      </x:c>
      <x:c r="C12" s="22" t="str">
        <x:f>'Distributor Report'!J3</x:f>
        <x:v>SYN-D500-002</x:v>
      </x:c>
      <x:c r="D12" s="23" t="n">
        <x:f>'Distributor Report'!K3</x:f>
        <x:v>0</x:v>
      </x:c>
      <x:c r="E12" s="23" t="n">
        <x:f>'Distributor Report'!L3</x:f>
        <x:v>110</x:v>
      </x:c>
      <x:c r="F12" s="23" t="n">
        <x:f>'Distributor Report'!M3</x:f>
        <x:v>82</x:v>
      </x:c>
      <x:c r="G12" s="23" t="n">
        <x:f>'Distributor Report'!N3</x:f>
        <x:v>0</x:v>
      </x:c>
      <x:c r="H12" s="23" t="n">
        <x:f>'Distributor Report'!O3</x:f>
        <x:v>0</x:v>
      </x:c>
      <x:c r="I12" s="23" t="n">
        <x:f>D12+E12-F12-G12+H12</x:f>
        <x:v>28</x:v>
      </x:c>
      <x:c r="J12" s="23" t="n">
        <x:f>'Distributor Report'!P3</x:f>
        <x:v>28</x:v>
      </x:c>
      <x:c r="K12" s="23" t="n">
        <x:f>J12-I12</x:f>
        <x:v>0</x:v>
      </x:c>
      <x:c r="L12" s="25" t="str">
        <x:f>IF(K12=0,"Matched","Review required")</x:f>
        <x:v>Matched</x:v>
      </x:c>
    </x:row>
    <x:row r="13" ht="22" customHeight="1">
      <x:c r="A13" s="22" t="str">
        <x:f>'Distributor Report'!G4</x:f>
        <x:v>ML-AML</x:v>
      </x:c>
      <x:c r="B13" s="22" t="str">
        <x:f>'Distributor Report'!H4</x:f>
        <x:v>Amlong</x:v>
      </x:c>
      <x:c r="C13" s="22" t="str">
        <x:f>'Distributor Report'!J4</x:f>
        <x:v>SYN-AML-003</x:v>
      </x:c>
      <x:c r="D13" s="23" t="n">
        <x:f>'Distributor Report'!K4</x:f>
        <x:v>0</x:v>
      </x:c>
      <x:c r="E13" s="23" t="n">
        <x:f>'Distributor Report'!L4</x:f>
        <x:v>120</x:v>
      </x:c>
      <x:c r="F13" s="23" t="n">
        <x:f>'Distributor Report'!M4</x:f>
        <x:v>64</x:v>
      </x:c>
      <x:c r="G13" s="23" t="n">
        <x:f>'Distributor Report'!N4</x:f>
        <x:v>0</x:v>
      </x:c>
      <x:c r="H13" s="23" t="n">
        <x:f>'Distributor Report'!O4</x:f>
        <x:v>0</x:v>
      </x:c>
      <x:c r="I13" s="23" t="n">
        <x:f>D13+E13-F13-G13+H13</x:f>
        <x:v>56</x:v>
      </x:c>
      <x:c r="J13" s="23" t="n">
        <x:f>'Distributor Report'!P4</x:f>
        <x:v>56</x:v>
      </x:c>
      <x:c r="K13" s="23" t="n">
        <x:f>J13-I13</x:f>
        <x:v>0</x:v>
      </x:c>
      <x:c r="L13" s="25" t="str">
        <x:f>IF(K13=0,"Matched","Review required")</x:f>
        <x:v>Matched</x:v>
      </x:c>
    </x:row>
    <x:row r="14" ht="22" customHeight="1">
      <x:c r="A14" s="22" t="str">
        <x:f>'Distributor Report'!G5</x:f>
        <x:v>ML-OLM</x:v>
      </x:c>
      <x:c r="B14" s="22" t="str">
        <x:f>'Distributor Report'!H5</x:f>
        <x:v>Olmat</x:v>
      </x:c>
      <x:c r="C14" s="22" t="str">
        <x:f>'Distributor Report'!J5</x:f>
        <x:v>SYN-OLM-004</x:v>
      </x:c>
      <x:c r="D14" s="23" t="n">
        <x:f>'Distributor Report'!K5</x:f>
        <x:v>0</x:v>
      </x:c>
      <x:c r="E14" s="23" t="n">
        <x:f>'Distributor Report'!L5</x:f>
        <x:v>130</x:v>
      </x:c>
      <x:c r="F14" s="23" t="n">
        <x:f>'Distributor Report'!M5</x:f>
        <x:v>95</x:v>
      </x:c>
      <x:c r="G14" s="23" t="n">
        <x:f>'Distributor Report'!N5</x:f>
        <x:v>0</x:v>
      </x:c>
      <x:c r="H14" s="23" t="n">
        <x:f>'Distributor Report'!O5</x:f>
        <x:v>0</x:v>
      </x:c>
      <x:c r="I14" s="23" t="n">
        <x:f>D14+E14-F14-G14+H14</x:f>
        <x:v>35</x:v>
      </x:c>
      <x:c r="J14" s="23" t="n">
        <x:f>'Distributor Report'!P5</x:f>
        <x:v>35</x:v>
      </x:c>
      <x:c r="K14" s="23" t="n">
        <x:f>J14-I14</x:f>
        <x:v>0</x:v>
      </x:c>
      <x:c r="L14" s="25" t="str">
        <x:f>IF(K14=0,"Matched","Review required")</x:f>
        <x:v>Matched</x:v>
      </x:c>
    </x:row>
    <x:row r="15" ht="22" customHeight="1">
      <x:c r="A15" s="22" t="str">
        <x:f>'Distributor Report'!G6</x:f>
        <x:v>ML-AVA</x:v>
      </x:c>
      <x:c r="B15" s="22" t="str">
        <x:f>'Distributor Report'!H6</x:f>
        <x:v>Avas</x:v>
      </x:c>
      <x:c r="C15" s="22" t="str">
        <x:f>'Distributor Report'!J6</x:f>
        <x:v>SYN-AVA-005</x:v>
      </x:c>
      <x:c r="D15" s="23" t="n">
        <x:f>'Distributor Report'!K6</x:f>
        <x:v>0</x:v>
      </x:c>
      <x:c r="E15" s="23" t="n">
        <x:f>'Distributor Report'!L6</x:f>
        <x:v>140</x:v>
      </x:c>
      <x:c r="F15" s="23" t="n">
        <x:f>'Distributor Report'!M6</x:f>
        <x:v>76</x:v>
      </x:c>
      <x:c r="G15" s="23" t="n">
        <x:f>'Distributor Report'!N6</x:f>
        <x:v>0</x:v>
      </x:c>
      <x:c r="H15" s="23" t="n">
        <x:f>'Distributor Report'!O6</x:f>
        <x:v>0</x:v>
      </x:c>
      <x:c r="I15" s="23" t="n">
        <x:f>D15+E15-F15-G15+H15</x:f>
        <x:v>64</x:v>
      </x:c>
      <x:c r="J15" s="23" t="n">
        <x:f>'Distributor Report'!P6</x:f>
        <x:v>64</x:v>
      </x:c>
      <x:c r="K15" s="23" t="n">
        <x:f>J15-I15</x:f>
        <x:v>0</x:v>
      </x:c>
      <x:c r="L15" s="25" t="str">
        <x:f>IF(K15=0,"Matched","Review required")</x:f>
        <x:v>Matched</x:v>
      </x:c>
    </x:row>
    <x:row r="16" ht="22" customHeight="1">
      <x:c r="A16" s="22" t="str">
        <x:f>'Distributor Report'!G7</x:f>
        <x:v>ML-ARB</x:v>
      </x:c>
      <x:c r="B16" s="22" t="str">
        <x:f>'Distributor Report'!H7</x:f>
        <x:v>Arbitel</x:v>
      </x:c>
      <x:c r="C16" s="22" t="str">
        <x:f>'Distributor Report'!J7</x:f>
        <x:v>SYN-ARB-006</x:v>
      </x:c>
      <x:c r="D16" s="23" t="n">
        <x:f>'Distributor Report'!K7</x:f>
        <x:v>0</x:v>
      </x:c>
      <x:c r="E16" s="23" t="n">
        <x:f>'Distributor Report'!L7</x:f>
        <x:v>150</x:v>
      </x:c>
      <x:c r="F16" s="23" t="n">
        <x:f>'Distributor Report'!M7</x:f>
        <x:v>91</x:v>
      </x:c>
      <x:c r="G16" s="23" t="n">
        <x:f>'Distributor Report'!N7</x:f>
        <x:v>0</x:v>
      </x:c>
      <x:c r="H16" s="23" t="n">
        <x:f>'Distributor Report'!O7</x:f>
        <x:v>0</x:v>
      </x:c>
      <x:c r="I16" s="23" t="n">
        <x:f>D16+E16-F16-G16+H16</x:f>
        <x:v>59</x:v>
      </x:c>
      <x:c r="J16" s="23" t="n">
        <x:f>'Distributor Report'!P7</x:f>
        <x:v>59</x:v>
      </x:c>
      <x:c r="K16" s="23" t="n">
        <x:f>J16-I16</x:f>
        <x:v>0</x:v>
      </x:c>
      <x:c r="L16" s="25" t="str">
        <x:f>IF(K16=0,"Matched","Review required")</x:f>
        <x:v>Matched</x:v>
      </x:c>
    </x:row>
    <x:row r="17" ht="22" customHeight="1">
      <x:c r="A17" s="22" t="str">
        <x:f>'Distributor Report'!G8</x:f>
        <x:v>ML-VIL</x:v>
      </x:c>
      <x:c r="B17" s="22" t="str">
        <x:f>'Distributor Report'!H8</x:f>
        <x:v>Vildapride</x:v>
      </x:c>
      <x:c r="C17" s="22" t="str">
        <x:f>'Distributor Report'!J8</x:f>
        <x:v>SYN-VIL-007</x:v>
      </x:c>
      <x:c r="D17" s="23" t="n">
        <x:f>'Distributor Report'!K8</x:f>
        <x:v>0</x:v>
      </x:c>
      <x:c r="E17" s="23" t="n">
        <x:f>'Distributor Report'!L8</x:f>
        <x:v>160</x:v>
      </x:c>
      <x:c r="F17" s="23" t="n">
        <x:f>'Distributor Report'!M8</x:f>
        <x:v>88</x:v>
      </x:c>
      <x:c r="G17" s="23" t="n">
        <x:f>'Distributor Report'!N8</x:f>
        <x:v>0</x:v>
      </x:c>
      <x:c r="H17" s="23" t="n">
        <x:f>'Distributor Report'!O8</x:f>
        <x:v>0</x:v>
      </x:c>
      <x:c r="I17" s="23" t="n">
        <x:f>D17+E17-F17-G17+H17</x:f>
        <x:v>72</x:v>
      </x:c>
      <x:c r="J17" s="23" t="n">
        <x:f>'Distributor Report'!P8</x:f>
        <x:v>72</x:v>
      </x:c>
      <x:c r="K17" s="23" t="n">
        <x:f>J17-I17</x:f>
        <x:v>0</x:v>
      </x:c>
      <x:c r="L17" s="25" t="str">
        <x:f>IF(K17=0,"Matched","Review required")</x:f>
        <x:v>Matched</x:v>
      </x:c>
    </x:row>
    <x:row r="18" ht="22" customHeight="1">
      <x:c r="A18" s="22" t="str">
        <x:f>'Distributor Report'!G9</x:f>
        <x:v>ML-DIA</x:v>
      </x:c>
      <x:c r="B18" s="22" t="str">
        <x:f>'Distributor Report'!H9</x:f>
        <x:v>Diapride</x:v>
      </x:c>
      <x:c r="C18" s="22" t="str">
        <x:f>'Distributor Report'!J9</x:f>
        <x:v>SYN-DIA-008</x:v>
      </x:c>
      <x:c r="D18" s="23" t="n">
        <x:f>'Distributor Report'!K9</x:f>
        <x:v>0</x:v>
      </x:c>
      <x:c r="E18" s="23" t="n">
        <x:f>'Distributor Report'!L9</x:f>
        <x:v>170</x:v>
      </x:c>
      <x:c r="F18" s="23" t="n">
        <x:f>'Distributor Report'!M9</x:f>
        <x:v>97</x:v>
      </x:c>
      <x:c r="G18" s="23" t="n">
        <x:f>'Distributor Report'!N9</x:f>
        <x:v>0</x:v>
      </x:c>
      <x:c r="H18" s="23" t="n">
        <x:f>'Distributor Report'!O9</x:f>
        <x:v>0</x:v>
      </x:c>
      <x:c r="I18" s="23" t="n">
        <x:f>D18+E18-F18-G18+H18</x:f>
        <x:v>73</x:v>
      </x:c>
      <x:c r="J18" s="23" t="n">
        <x:f>'Distributor Report'!P9</x:f>
        <x:v>76</x:v>
      </x:c>
      <x:c r="K18" s="23" t="n">
        <x:f>J18-I18</x:f>
        <x:v>3</x:v>
      </x:c>
      <x:c r="L18" s="25" t="str">
        <x:f>IF(K18=0,"Matched","Review required")</x:f>
        <x:v>Review required</x:v>
      </x:c>
    </x:row>
    <x:row r="19" ht="22" customHeight="1">
      <x:c r="A19" s="22" t="str">
        <x:f>'Distributor Report'!G10</x:f>
        <x:v>ML-ZUC</x:v>
      </x:c>
      <x:c r="B19" s="22" t="str">
        <x:f>'Distributor Report'!H10</x:f>
        <x:v>Zucapride</x:v>
      </x:c>
      <x:c r="C19" s="22" t="str">
        <x:f>'Distributor Report'!J10</x:f>
        <x:v>SYN-ZUC-009</x:v>
      </x:c>
      <x:c r="D19" s="23" t="n">
        <x:f>'Distributor Report'!K10</x:f>
        <x:v>0</x:v>
      </x:c>
      <x:c r="E19" s="23" t="n">
        <x:f>'Distributor Report'!L10</x:f>
        <x:v>180</x:v>
      </x:c>
      <x:c r="F19" s="23" t="n">
        <x:f>'Distributor Report'!M10</x:f>
        <x:v>102</x:v>
      </x:c>
      <x:c r="G19" s="23" t="n">
        <x:f>'Distributor Report'!N10</x:f>
        <x:v>0</x:v>
      </x:c>
      <x:c r="H19" s="23" t="n">
        <x:f>'Distributor Report'!O10</x:f>
        <x:v>0</x:v>
      </x:c>
      <x:c r="I19" s="23" t="n">
        <x:f>D19+E19-F19-G19+H19</x:f>
        <x:v>78</x:v>
      </x:c>
      <x:c r="J19" s="23" t="n">
        <x:f>'Distributor Report'!P10</x:f>
        <x:v>78</x:v>
      </x:c>
      <x:c r="K19" s="23" t="n">
        <x:f>J19-I19</x:f>
        <x:v>0</x:v>
      </x:c>
      <x:c r="L19" s="25" t="str">
        <x:f>IF(K19=0,"Matched","Review required")</x:f>
        <x:v>Matched</x:v>
      </x:c>
    </x:row>
    <x:row r="20" ht="22" customHeight="1">
      <x:c r="A20" s="22" t="str">
        <x:f>'Distributor Report'!G11</x:f>
        <x:v>ML-TEN</x:v>
      </x:c>
      <x:c r="B20" s="22" t="str">
        <x:f>'Distributor Report'!H11</x:f>
        <x:v>Tenepride</x:v>
      </x:c>
      <x:c r="C20" s="22" t="str">
        <x:f>'Distributor Report'!J11</x:f>
        <x:v>SYN-TEN-010</x:v>
      </x:c>
      <x:c r="D20" s="23" t="n">
        <x:f>'Distributor Report'!K11</x:f>
        <x:v>0</x:v>
      </x:c>
      <x:c r="E20" s="23" t="n">
        <x:f>'Distributor Report'!L11</x:f>
        <x:v>190</x:v>
      </x:c>
      <x:c r="F20" s="23" t="n">
        <x:f>'Distributor Report'!M11</x:f>
        <x:v>110</x:v>
      </x:c>
      <x:c r="G20" s="23" t="n">
        <x:f>'Distributor Report'!N11</x:f>
        <x:v>0</x:v>
      </x:c>
      <x:c r="H20" s="23" t="n">
        <x:f>'Distributor Report'!O11</x:f>
        <x:v>0</x:v>
      </x:c>
      <x:c r="I20" s="23" t="n">
        <x:f>D20+E20-F20-G20+H20</x:f>
        <x:v>80</x:v>
      </x:c>
      <x:c r="J20" s="23" t="n">
        <x:f>'Distributor Report'!P11</x:f>
        <x:v>80</x:v>
      </x:c>
      <x:c r="K20" s="23" t="n">
        <x:f>J20-I20</x:f>
        <x:v>0</x:v>
      </x:c>
      <x:c r="L20" s="25" t="str">
        <x:f>IF(K20=0,"Matched","Review required")</x:f>
        <x:v>Matched</x:v>
      </x:c>
    </x:row>
  </x:sheetData>
  <x:conditionalFormatting sqref="K11:K20">
    <x:cfRule type="cellIs" dxfId="0" priority="1" operator="notEqual">
      <x:formula>0</x:formula>
    </x:cfRule>
  </x:conditionalFormatting>
  <x:conditionalFormatting sqref="L11:L20">
    <x:cfRule type="containsText" dxfId="1" priority="2" operator="containsText" text="Review requir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36" hidden="0" customWidth="1"/>
    <x:col min="4" max="4" width="20" hidden="0" customWidth="1"/>
    <x:col min="5" max="5" width="20" hidden="0" customWidth="1"/>
    <x:col min="6" max="6" width="19" hidden="0" customWidth="1"/>
    <x:col min="7" max="7" width="15" hidden="0" customWidth="1"/>
    <x:col min="8" max="8" width="18" hidden="0" customWidth="1"/>
    <x:col min="9" max="9" width="25" hidden="0" customWidth="1"/>
    <x:col min="10" max="10" width="20" hidden="0" customWidth="1"/>
    <x:col min="11" max="11" width="20" hidden="0" customWidth="1"/>
    <x:col min="12" max="12" width="23" hidden="0" customWidth="1"/>
    <x:col min="13" max="13" width="20" hidden="0" customWidth="1"/>
    <x:col min="14" max="14" width="23" hidden="0" customWidth="1"/>
    <x:col min="15" max="15" width="27" hidden="0" customWidth="1"/>
    <x:col min="16" max="16" width="29" hidden="0" customWidth="1"/>
  </x:cols>
  <x:sheetData>
    <x:row r="1" ht="32" customHeight="1">
      <x:c r="A1" s="19" t="str">
        <x:v>Template Version</x:v>
      </x:c>
      <x:c r="B1" s="20" t="str">
        <x:v>Distributor Code</x:v>
      </x:c>
      <x:c r="C1" s="20" t="str">
        <x:v>Distributor Name</x:v>
      </x:c>
      <x:c r="D1" s="20" t="str">
        <x:v>Reporting Period Start</x:v>
      </x:c>
      <x:c r="E1" s="20" t="str">
        <x:v>Reporting Period End</x:v>
      </x:c>
      <x:c r="F1" s="20" t="str">
        <x:v>Operational Unit Code</x:v>
      </x:c>
      <x:c r="G1" s="20" t="str">
        <x:v>Product Code</x:v>
      </x:c>
      <x:c r="H1" s="20" t="str">
        <x:v>Product Name</x:v>
      </x:c>
      <x:c r="I1" s="20" t="str">
        <x:v>Therapy Area</x:v>
      </x:c>
      <x:c r="J1" s="20" t="str">
        <x:v>Batch Number</x:v>
      </x:c>
      <x:c r="K1" s="20" t="str">
        <x:v>Opening Stock (Packs)</x:v>
      </x:c>
      <x:c r="L1" s="20" t="str">
        <x:v>Quantity Received (Packs)</x:v>
      </x:c>
      <x:c r="M1" s="20" t="str">
        <x:v>Onward Sales (Packs)</x:v>
      </x:c>
      <x:c r="N1" s="20" t="str">
        <x:v>Accepted Returns (Packs)</x:v>
      </x:c>
      <x:c r="O1" s="20" t="str">
        <x:v>Approved Adjustments (Packs)</x:v>
      </x:c>
      <x:c r="P1" s="21" t="str">
        <x:v>Reported Closing Stock (Packs)</x:v>
      </x:c>
    </x:row>
    <x:row r="2" ht="22" customHeight="1">
      <x:c r="A2" s="27" t="str">
        <x:v>STOCK-v1.0</x:v>
      </x:c>
      <x:c r="B2" s="27" t="str">
        <x:v>SYN-D001</x:v>
      </x:c>
      <x:c r="C2" s="27" t="str">
        <x:v>Northgate Pharma Distribution (Sample)</x:v>
      </x:c>
      <x:c r="D2" s="28" t="d">
        <x:v>2026-10-01T00:00:00.000Z</x:v>
      </x:c>
      <x:c r="E2" s="28" t="d">
        <x:v>2026-10-31T00:00:00.000Z</x:v>
      </x:c>
      <x:c r="F2" s="27" t="str">
        <x:v>BLR-01</x:v>
      </x:c>
      <x:c r="G2" s="27" t="str">
        <x:v>ML-D650</x:v>
      </x:c>
      <x:c r="H2" s="27" t="str">
        <x:v>Dolo-650</x:v>
      </x:c>
      <x:c r="I2" s="27" t="str">
        <x:v>Fever &amp; pain management</x:v>
      </x:c>
      <x:c r="J2" s="27" t="str">
        <x:v>SYN-D650-001</x:v>
      </x:c>
      <x:c r="K2" s="29" t="n">
        <x:v>0</x:v>
      </x:c>
      <x:c r="L2" s="29" t="n">
        <x:v>100</x:v>
      </x:c>
      <x:c r="M2" s="29" t="n">
        <x:v>70</x:v>
      </x:c>
      <x:c r="N2" s="29" t="n">
        <x:v>0</x:v>
      </x:c>
      <x:c r="O2" s="29" t="n">
        <x:v>0</x:v>
      </x:c>
      <x:c r="P2" s="29" t="n">
        <x:v>28</x:v>
      </x:c>
    </x:row>
    <x:row r="3" ht="22" customHeight="1">
      <x:c r="A3" s="27" t="str">
        <x:v>STOCK-v1.0</x:v>
      </x:c>
      <x:c r="B3" s="27" t="str">
        <x:v>SYN-D001</x:v>
      </x:c>
      <x:c r="C3" s="27" t="str">
        <x:v>Northgate Pharma Distribution (Sample)</x:v>
      </x:c>
      <x:c r="D3" s="28" t="d">
        <x:v>2026-10-01T00:00:00.000Z</x:v>
      </x:c>
      <x:c r="E3" s="28" t="d">
        <x:v>2026-10-31T00:00:00.000Z</x:v>
      </x:c>
      <x:c r="F3" s="27" t="str">
        <x:v>BLR-01</x:v>
      </x:c>
      <x:c r="G3" s="27" t="str">
        <x:v>ML-D500</x:v>
      </x:c>
      <x:c r="H3" s="27" t="str">
        <x:v>Dolo-500</x:v>
      </x:c>
      <x:c r="I3" s="27" t="str">
        <x:v>Fever &amp; pain management</x:v>
      </x:c>
      <x:c r="J3" s="27" t="str">
        <x:v>SYN-D500-002</x:v>
      </x:c>
      <x:c r="K3" s="29" t="n">
        <x:v>0</x:v>
      </x:c>
      <x:c r="L3" s="29" t="n">
        <x:v>110</x:v>
      </x:c>
      <x:c r="M3" s="29" t="n">
        <x:v>82</x:v>
      </x:c>
      <x:c r="N3" s="29" t="n">
        <x:v>0</x:v>
      </x:c>
      <x:c r="O3" s="29" t="n">
        <x:v>0</x:v>
      </x:c>
      <x:c r="P3" s="29" t="n">
        <x:v>28</x:v>
      </x:c>
    </x:row>
    <x:row r="4" ht="22" customHeight="1">
      <x:c r="A4" s="27" t="str">
        <x:v>STOCK-v1.0</x:v>
      </x:c>
      <x:c r="B4" s="27" t="str">
        <x:v>SYN-D001</x:v>
      </x:c>
      <x:c r="C4" s="27" t="str">
        <x:v>Northgate Pharma Distribution (Sample)</x:v>
      </x:c>
      <x:c r="D4" s="28" t="d">
        <x:v>2026-10-01T00:00:00.000Z</x:v>
      </x:c>
      <x:c r="E4" s="28" t="d">
        <x:v>2026-10-31T00:00:00.000Z</x:v>
      </x:c>
      <x:c r="F4" s="27" t="str">
        <x:v>BLR-01</x:v>
      </x:c>
      <x:c r="G4" s="27" t="str">
        <x:v>ML-AML</x:v>
      </x:c>
      <x:c r="H4" s="27" t="str">
        <x:v>Amlong</x:v>
      </x:c>
      <x:c r="I4" s="27" t="str">
        <x:v>Cardiology</x:v>
      </x:c>
      <x:c r="J4" s="27" t="str">
        <x:v>SYN-AML-003</x:v>
      </x:c>
      <x:c r="K4" s="29" t="n">
        <x:v>0</x:v>
      </x:c>
      <x:c r="L4" s="29" t="n">
        <x:v>120</x:v>
      </x:c>
      <x:c r="M4" s="29" t="n">
        <x:v>64</x:v>
      </x:c>
      <x:c r="N4" s="29" t="n">
        <x:v>0</x:v>
      </x:c>
      <x:c r="O4" s="29" t="n">
        <x:v>0</x:v>
      </x:c>
      <x:c r="P4" s="29" t="n">
        <x:v>56</x:v>
      </x:c>
    </x:row>
    <x:row r="5" ht="22" customHeight="1">
      <x:c r="A5" s="27" t="str">
        <x:v>STOCK-v1.0</x:v>
      </x:c>
      <x:c r="B5" s="27" t="str">
        <x:v>SYN-D001</x:v>
      </x:c>
      <x:c r="C5" s="27" t="str">
        <x:v>Northgate Pharma Distribution (Sample)</x:v>
      </x:c>
      <x:c r="D5" s="28" t="d">
        <x:v>2026-10-01T00:00:00.000Z</x:v>
      </x:c>
      <x:c r="E5" s="28" t="d">
        <x:v>2026-10-31T00:00:00.000Z</x:v>
      </x:c>
      <x:c r="F5" s="27" t="str">
        <x:v>BLR-01</x:v>
      </x:c>
      <x:c r="G5" s="27" t="str">
        <x:v>ML-OLM</x:v>
      </x:c>
      <x:c r="H5" s="27" t="str">
        <x:v>Olmat</x:v>
      </x:c>
      <x:c r="I5" s="27" t="str">
        <x:v>Cardiology</x:v>
      </x:c>
      <x:c r="J5" s="27" t="str">
        <x:v>SYN-OLM-004</x:v>
      </x:c>
      <x:c r="K5" s="29" t="n">
        <x:v>0</x:v>
      </x:c>
      <x:c r="L5" s="29" t="n">
        <x:v>130</x:v>
      </x:c>
      <x:c r="M5" s="29" t="n">
        <x:v>95</x:v>
      </x:c>
      <x:c r="N5" s="29" t="n">
        <x:v>0</x:v>
      </x:c>
      <x:c r="O5" s="29" t="n">
        <x:v>0</x:v>
      </x:c>
      <x:c r="P5" s="29" t="n">
        <x:v>35</x:v>
      </x:c>
    </x:row>
    <x:row r="6" ht="22" customHeight="1">
      <x:c r="A6" s="27" t="str">
        <x:v>STOCK-v1.0</x:v>
      </x:c>
      <x:c r="B6" s="27" t="str">
        <x:v>SYN-D001</x:v>
      </x:c>
      <x:c r="C6" s="27" t="str">
        <x:v>Northgate Pharma Distribution (Sample)</x:v>
      </x:c>
      <x:c r="D6" s="28" t="d">
        <x:v>2026-10-01T00:00:00.000Z</x:v>
      </x:c>
      <x:c r="E6" s="28" t="d">
        <x:v>2026-10-31T00:00:00.000Z</x:v>
      </x:c>
      <x:c r="F6" s="27" t="str">
        <x:v>BLR-01</x:v>
      </x:c>
      <x:c r="G6" s="27" t="str">
        <x:v>ML-AVA</x:v>
      </x:c>
      <x:c r="H6" s="27" t="str">
        <x:v>Avas</x:v>
      </x:c>
      <x:c r="I6" s="27" t="str">
        <x:v>Cardiology</x:v>
      </x:c>
      <x:c r="J6" s="27" t="str">
        <x:v>SYN-AVA-005</x:v>
      </x:c>
      <x:c r="K6" s="29" t="n">
        <x:v>0</x:v>
      </x:c>
      <x:c r="L6" s="29" t="n">
        <x:v>140</x:v>
      </x:c>
      <x:c r="M6" s="29" t="n">
        <x:v>76</x:v>
      </x:c>
      <x:c r="N6" s="29" t="n">
        <x:v>0</x:v>
      </x:c>
      <x:c r="O6" s="29" t="n">
        <x:v>0</x:v>
      </x:c>
      <x:c r="P6" s="29" t="n">
        <x:v>64</x:v>
      </x:c>
    </x:row>
    <x:row r="7" ht="22" customHeight="1">
      <x:c r="A7" s="27" t="str">
        <x:v>STOCK-v1.0</x:v>
      </x:c>
      <x:c r="B7" s="27" t="str">
        <x:v>SYN-D001</x:v>
      </x:c>
      <x:c r="C7" s="27" t="str">
        <x:v>Northgate Pharma Distribution (Sample)</x:v>
      </x:c>
      <x:c r="D7" s="28" t="d">
        <x:v>2026-10-01T00:00:00.000Z</x:v>
      </x:c>
      <x:c r="E7" s="28" t="d">
        <x:v>2026-10-31T00:00:00.000Z</x:v>
      </x:c>
      <x:c r="F7" s="27" t="str">
        <x:v>BLR-01</x:v>
      </x:c>
      <x:c r="G7" s="27" t="str">
        <x:v>ML-ARB</x:v>
      </x:c>
      <x:c r="H7" s="27" t="str">
        <x:v>Arbitel</x:v>
      </x:c>
      <x:c r="I7" s="27" t="str">
        <x:v>Cardiology</x:v>
      </x:c>
      <x:c r="J7" s="27" t="str">
        <x:v>SYN-ARB-006</x:v>
      </x:c>
      <x:c r="K7" s="29" t="n">
        <x:v>0</x:v>
      </x:c>
      <x:c r="L7" s="29" t="n">
        <x:v>150</x:v>
      </x:c>
      <x:c r="M7" s="29" t="n">
        <x:v>91</x:v>
      </x:c>
      <x:c r="N7" s="29" t="n">
        <x:v>0</x:v>
      </x:c>
      <x:c r="O7" s="29" t="n">
        <x:v>0</x:v>
      </x:c>
      <x:c r="P7" s="29" t="n">
        <x:v>59</x:v>
      </x:c>
    </x:row>
    <x:row r="8" ht="22" customHeight="1">
      <x:c r="A8" s="27" t="str">
        <x:v>STOCK-v1.0</x:v>
      </x:c>
      <x:c r="B8" s="27" t="str">
        <x:v>SYN-D001</x:v>
      </x:c>
      <x:c r="C8" s="27" t="str">
        <x:v>Northgate Pharma Distribution (Sample)</x:v>
      </x:c>
      <x:c r="D8" s="28" t="d">
        <x:v>2026-10-01T00:00:00.000Z</x:v>
      </x:c>
      <x:c r="E8" s="28" t="d">
        <x:v>2026-10-31T00:00:00.000Z</x:v>
      </x:c>
      <x:c r="F8" s="27" t="str">
        <x:v>BLR-01</x:v>
      </x:c>
      <x:c r="G8" s="27" t="str">
        <x:v>ML-VIL</x:v>
      </x:c>
      <x:c r="H8" s="27" t="str">
        <x:v>Vildapride</x:v>
      </x:c>
      <x:c r="I8" s="27" t="str">
        <x:v>Diabetology</x:v>
      </x:c>
      <x:c r="J8" s="27" t="str">
        <x:v>SYN-VIL-007</x:v>
      </x:c>
      <x:c r="K8" s="29" t="n">
        <x:v>0</x:v>
      </x:c>
      <x:c r="L8" s="29" t="n">
        <x:v>160</x:v>
      </x:c>
      <x:c r="M8" s="29" t="n">
        <x:v>88</x:v>
      </x:c>
      <x:c r="N8" s="29" t="n">
        <x:v>0</x:v>
      </x:c>
      <x:c r="O8" s="29" t="n">
        <x:v>0</x:v>
      </x:c>
      <x:c r="P8" s="29" t="n">
        <x:v>72</x:v>
      </x:c>
    </x:row>
    <x:row r="9" ht="22" customHeight="1">
      <x:c r="A9" s="27" t="str">
        <x:v>STOCK-v1.0</x:v>
      </x:c>
      <x:c r="B9" s="27" t="str">
        <x:v>SYN-D001</x:v>
      </x:c>
      <x:c r="C9" s="27" t="str">
        <x:v>Northgate Pharma Distribution (Sample)</x:v>
      </x:c>
      <x:c r="D9" s="28" t="d">
        <x:v>2026-10-01T00:00:00.000Z</x:v>
      </x:c>
      <x:c r="E9" s="28" t="d">
        <x:v>2026-10-31T00:00:00.000Z</x:v>
      </x:c>
      <x:c r="F9" s="27" t="str">
        <x:v>BLR-01</x:v>
      </x:c>
      <x:c r="G9" s="27" t="str">
        <x:v>ML-DIA</x:v>
      </x:c>
      <x:c r="H9" s="27" t="str">
        <x:v>Diapride</x:v>
      </x:c>
      <x:c r="I9" s="27" t="str">
        <x:v>Diabetology</x:v>
      </x:c>
      <x:c r="J9" s="27" t="str">
        <x:v>SYN-DIA-008</x:v>
      </x:c>
      <x:c r="K9" s="29" t="n">
        <x:v>0</x:v>
      </x:c>
      <x:c r="L9" s="29" t="n">
        <x:v>170</x:v>
      </x:c>
      <x:c r="M9" s="29" t="n">
        <x:v>97</x:v>
      </x:c>
      <x:c r="N9" s="29" t="n">
        <x:v>0</x:v>
      </x:c>
      <x:c r="O9" s="29" t="n">
        <x:v>0</x:v>
      </x:c>
      <x:c r="P9" s="29" t="n">
        <x:v>76</x:v>
      </x:c>
    </x:row>
    <x:row r="10" ht="22" customHeight="1">
      <x:c r="A10" s="27" t="str">
        <x:v>STOCK-v1.0</x:v>
      </x:c>
      <x:c r="B10" s="27" t="str">
        <x:v>SYN-D001</x:v>
      </x:c>
      <x:c r="C10" s="27" t="str">
        <x:v>Northgate Pharma Distribution (Sample)</x:v>
      </x:c>
      <x:c r="D10" s="28" t="d">
        <x:v>2026-10-01T00:00:00.000Z</x:v>
      </x:c>
      <x:c r="E10" s="28" t="d">
        <x:v>2026-10-31T00:00:00.000Z</x:v>
      </x:c>
      <x:c r="F10" s="27" t="str">
        <x:v>BLR-01</x:v>
      </x:c>
      <x:c r="G10" s="27" t="str">
        <x:v>ML-ZUC</x:v>
      </x:c>
      <x:c r="H10" s="27" t="str">
        <x:v>Zucapride</x:v>
      </x:c>
      <x:c r="I10" s="27" t="str">
        <x:v>Diabetology</x:v>
      </x:c>
      <x:c r="J10" s="27" t="str">
        <x:v>SYN-ZUC-009</x:v>
      </x:c>
      <x:c r="K10" s="29" t="n">
        <x:v>0</x:v>
      </x:c>
      <x:c r="L10" s="29" t="n">
        <x:v>180</x:v>
      </x:c>
      <x:c r="M10" s="29" t="n">
        <x:v>102</x:v>
      </x:c>
      <x:c r="N10" s="29" t="n">
        <x:v>0</x:v>
      </x:c>
      <x:c r="O10" s="29" t="n">
        <x:v>0</x:v>
      </x:c>
      <x:c r="P10" s="29" t="n">
        <x:v>78</x:v>
      </x:c>
    </x:row>
    <x:row r="11" ht="22" customHeight="1">
      <x:c r="A11" s="27" t="str">
        <x:v>STOCK-v1.0</x:v>
      </x:c>
      <x:c r="B11" s="27" t="str">
        <x:v>SYN-D001</x:v>
      </x:c>
      <x:c r="C11" s="27" t="str">
        <x:v>Northgate Pharma Distribution (Sample)</x:v>
      </x:c>
      <x:c r="D11" s="28" t="d">
        <x:v>2026-10-01T00:00:00.000Z</x:v>
      </x:c>
      <x:c r="E11" s="28" t="d">
        <x:v>2026-10-31T00:00:00.000Z</x:v>
      </x:c>
      <x:c r="F11" s="27" t="str">
        <x:v>BLR-01</x:v>
      </x:c>
      <x:c r="G11" s="27" t="str">
        <x:v>ML-TEN</x:v>
      </x:c>
      <x:c r="H11" s="27" t="str">
        <x:v>Tenepride</x:v>
      </x:c>
      <x:c r="I11" s="27" t="str">
        <x:v>Diabetology</x:v>
      </x:c>
      <x:c r="J11" s="27" t="str">
        <x:v>SYN-TEN-010</x:v>
      </x:c>
      <x:c r="K11" s="29" t="n">
        <x:v>0</x:v>
      </x:c>
      <x:c r="L11" s="29" t="n">
        <x:v>190</x:v>
      </x:c>
      <x:c r="M11" s="29" t="n">
        <x:v>110</x:v>
      </x:c>
      <x:c r="N11" s="29" t="n">
        <x:v>0</x:v>
      </x:c>
      <x:c r="O11" s="29" t="n">
        <x:v>0</x:v>
      </x:c>
      <x:c r="P11" s="29" t="n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0e51ec8c75514d18"/>
  </x:tableParts>
</x:worksheet>
</file>