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5e2242024247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ca7ac4de45c4ff0"/>
    <x:sheet xmlns:r="http://schemas.openxmlformats.org/officeDocument/2006/relationships" name="Sales Data" sheetId="2" r:id="R4357ead87f8346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₹#,##0.00"/>
    <x:numFmt numFmtId="202" formatCode="dd-mmm-yyyy"/>
  </x:numFmts>
  <x:fonts count="7">
    <x:font>
      <x:sz val="11"/>
      <x:name val="Carlito"/>
    </x:font>
    <x:font>
      <x:b/>
      <x:sz val="16"/>
      <x:color rgb="FF24364B"/>
      <x:name val="Arial"/>
    </x:font>
    <x:font>
      <x:i/>
      <x:sz val="10"/>
      <x:color rgb="FF667085"/>
      <x:name val="Arial"/>
    </x:font>
    <x:font>
      <x:b/>
      <x:sz val="10"/>
      <x:color rgb="FF24364B"/>
      <x:name val="Arial"/>
    </x:font>
    <x:font>
      <x:sz val="10"/>
      <x:color rgb="FF24364B"/>
      <x:name val="Arial"/>
    </x:font>
    <x:font>
      <x:sz val="10"/>
      <x:color rgb="FF667085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6F4F1"/>
      </x:patternFill>
    </x:fill>
    <x:fill>
      <x:patternFill patternType="solid">
        <x:fgColor rgb="FF115E59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0F766E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3" xfId="0" applyNumberFormat="1" applyFont="1" applyFill="1" applyBorder="1"/>
    <x:xf numFmtId="0" fontId="6" fillId="3" borderId="4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wrapText="1"/>
    </x:xf>
    <x:xf numFmtId="0" fontId="6" fillId="3" borderId="4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4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6" fillId="3" borderId="4" xfId="0" applyNumberFormat="1" applyFont="1" applyFill="1" applyBorder="1" applyAlignment="1">
      <x:alignment horizontal="center" vertical="center" wrapText="1"/>
    </x:xf>
    <x:xf numFmtId="202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bf8d6c06324158" /><Relationship Type="http://schemas.openxmlformats.org/officeDocument/2006/relationships/theme" Target="/xl/theme/theme1.xml" Id="R54bfc21e67b0414d" /><Relationship Type="http://schemas.openxmlformats.org/officeDocument/2006/relationships/sharedStrings" Target="/xl/sharedStrings.xml" Id="R64a6e7510cc64656" /><Relationship Type="http://schemas.openxmlformats.org/officeDocument/2006/relationships/worksheet" Target="/xl/worksheets/sheet1.xml" Id="Raca7ac4de45c4ff0" /><Relationship Type="http://schemas.openxmlformats.org/officeDocument/2006/relationships/worksheet" Target="/xl/worksheets/sheet2.xml" Id="R4357ead87f83469b" /></Relationships>
</file>

<file path=xl/tables/table1.xml><?xml version="1.0" encoding="utf-8"?>
<x:table xmlns:x="http://schemas.openxmlformats.org/spreadsheetml/2006/main" id="1" name="ManufacturerSalesTable" displayName="ManufacturerSalesTable" ref="A1:N21" headerRowCount="1" totalsRowCount="0" totalsRowShown="0">
  <x:tableColumns count="14">
    <x:tableColumn id="1" name="Organization"/>
    <x:tableColumn id="2" name="Operational Unit Code"/>
    <x:tableColumn id="3" name="Distributor Code"/>
    <x:tableColumn id="4" name="Distributor Name"/>
    <x:tableColumn id="5" name="Invoice Number"/>
    <x:tableColumn id="6" name="Invoice Date"/>
    <x:tableColumn id="7" name="Product Code"/>
    <x:tableColumn id="8" name="Product Name"/>
    <x:tableColumn id="9" name="Therapy Area"/>
    <x:tableColumn id="10" name="Batch Number"/>
    <x:tableColumn id="11" name="Expiry Date"/>
    <x:tableColumn id="12" name="Quantity Shipped (Packs)"/>
    <x:tableColumn id="13" name="Unit Price (INR)"/>
    <x:tableColumn id="14" name="Invoice Amount (INR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b3a2781b88424a" /></Relationships>
</file>

<file path=xl/worksheets/sheet1.xml><?xml version="1.0" encoding="utf-8"?>
<x:worksheet xmlns:x="http://schemas.openxmlformats.org/spreadsheetml/2006/main">
  <x:sheetPr>
    <x:tabColor rgb="FF115E59"/>
  </x:sheetPr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2">
      <x:c r="A2" s="12" t="str">
        <x:v>Micro Labs manufacturer sales and shipment sample</x:v>
      </x:c>
      <x:c r="B2" s="13"/>
      <x:c r="C2" s="13"/>
      <x:c r="D2" s="13"/>
      <x:c r="E2" s="13"/>
      <x:c r="F2" s="13"/>
      <x:c r="G2" s="13"/>
      <x:c r="H2" s="13"/>
    </x:row>
    <x:row r="3">
      <x:c r="A3" s="14" t="str">
        <x:v>Synthetic pilot transactions for testing PharmaAI data intake and reconciliation.</x:v>
      </x:c>
      <x:c r="B3" s="13"/>
      <x:c r="C3" s="13"/>
      <x:c r="D3" s="13"/>
      <x:c r="E3" s="13"/>
      <x:c r="F3" s="13"/>
      <x:c r="G3" s="13"/>
      <x:c r="H3" s="13"/>
    </x:row>
    <x:row r="4">
      <x:c r="A4" s="15"/>
      <x:c r="B4" s="15"/>
      <x:c r="C4" s="15"/>
      <x:c r="D4" s="15"/>
      <x:c r="E4" s="15"/>
      <x:c r="F4" s="15"/>
      <x:c r="G4" s="15"/>
      <x:c r="H4" s="15"/>
    </x:row>
    <x:row r="5">
      <x:c r="A5" s="13"/>
      <x:c r="B5" s="13"/>
      <x:c r="C5" s="13"/>
      <x:c r="D5" s="13"/>
      <x:c r="E5" s="13"/>
      <x:c r="F5" s="13"/>
      <x:c r="G5" s="13"/>
      <x:c r="H5" s="13"/>
    </x:row>
    <x:row r="6">
      <x:c r="A6" s="16" t="str">
        <x:v>Organization</x:v>
      </x:c>
      <x:c r="B6" s="17" t="str">
        <x:v>Micro Labs Limited</x:v>
      </x:c>
      <x:c r="C6" s="13"/>
      <x:c r="D6" s="13"/>
      <x:c r="E6" s="13"/>
      <x:c r="F6" s="13"/>
      <x:c r="G6" s="13"/>
      <x:c r="H6" s="13"/>
    </x:row>
    <x:row r="7">
      <x:c r="A7" s="16" t="str">
        <x:v>Sales lines</x:v>
      </x:c>
      <x:c r="B7" s="17" t="n">
        <x:f>COUNTA('Sales Data'!A2:A21)</x:f>
        <x:v>20</x:v>
      </x:c>
      <x:c r="C7" s="13"/>
      <x:c r="D7" s="13"/>
      <x:c r="E7" s="13"/>
      <x:c r="F7" s="13"/>
      <x:c r="G7" s="13"/>
      <x:c r="H7" s="13"/>
    </x:row>
    <x:row r="8">
      <x:c r="A8" s="16" t="str">
        <x:v>Quantity shipped (packs)</x:v>
      </x:c>
      <x:c r="B8" s="18" t="n">
        <x:f>SUM('Sales Data'!L2:L21)</x:f>
        <x:v>2475</x:v>
      </x:c>
      <x:c r="C8" s="13"/>
      <x:c r="D8" s="13"/>
      <x:c r="E8" s="13"/>
      <x:c r="F8" s="13"/>
      <x:c r="G8" s="13"/>
      <x:c r="H8" s="13"/>
    </x:row>
    <x:row r="9">
      <x:c r="A9" s="16" t="str">
        <x:v>Invoice value (INR)</x:v>
      </x:c>
      <x:c r="B9" s="19" t="n">
        <x:f>SUM('Sales Data'!N2:N21)</x:f>
        <x:v>250620</x:v>
      </x:c>
      <x:c r="C9" s="13"/>
      <x:c r="D9" s="13"/>
      <x:c r="E9" s="13"/>
      <x:c r="F9" s="13"/>
      <x:c r="G9" s="13"/>
      <x:c r="H9" s="13"/>
    </x:row>
    <x:row r="10">
      <x:c r="A10" s="13"/>
      <x:c r="B10" s="13"/>
      <x:c r="C10" s="13"/>
      <x:c r="D10" s="13"/>
      <x:c r="E10" s="13"/>
      <x:c r="F10" s="13"/>
      <x:c r="G10" s="13"/>
      <x:c r="H10" s="13"/>
    </x:row>
    <x:row r="11">
      <x:c r="A11" s="13"/>
      <x:c r="B11" s="13"/>
      <x:c r="C11" s="13"/>
      <x:c r="D11" s="13"/>
      <x:c r="E11" s="13"/>
      <x:c r="F11" s="13"/>
      <x:c r="G11" s="13"/>
      <x:c r="H11" s="13"/>
    </x:row>
    <x:row r="12">
      <x:c r="A12" s="20" t="str">
        <x:v>Important</x:v>
      </x:c>
      <x:c r="B12" s="21" t="str">
        <x:v>All distributor relationships, invoices, batches, quantities and prices in this workbook are synthetic.</x:v>
      </x:c>
      <x:c r="C12" s="21"/>
      <x:c r="D12" s="21"/>
      <x:c r="E12" s="21"/>
      <x:c r="F12" s="21"/>
      <x:c r="G12" s="21"/>
      <x:c r="H12" s="21"/>
    </x:row>
    <x:row r="13">
      <x:c r="A13" s="20" t="str">
        <x:v>Products</x:v>
      </x:c>
      <x:c r="B13" s="21" t="str">
        <x:v>Product names are public Micro Labs brand references used only to make the pilot easier to understand.</x:v>
      </x:c>
      <x:c r="C13" s="21"/>
      <x:c r="D13" s="21"/>
      <x:c r="E13" s="21"/>
      <x:c r="F13" s="21"/>
      <x:c r="G13" s="21"/>
      <x:c r="H13" s="21"/>
    </x:row>
    <x:row r="14">
      <x:c r="A14" s="20" t="str">
        <x:v>Product sources</x:v>
      </x:c>
      <x:c r="B14" s="21" t="str">
        <x:v>https://www.microlabsltd.com/therapy/fever-pain-management</x:v>
      </x:c>
      <x:c r="C14" s="21"/>
      <x:c r="D14" s="21"/>
      <x:c r="E14" s="21"/>
      <x:c r="F14" s="21"/>
      <x:c r="G14" s="21"/>
      <x:c r="H14" s="21"/>
    </x:row>
    <x:row r="15">
      <x:c r="A15" s="20" t="str">
        <x:v>Product sources</x:v>
      </x:c>
      <x:c r="B15" s="21" t="str">
        <x:v>https://www.microlabsltd.com/therapy/cardiology and https://www.microlabsltd.com/therapy/diabetes</x:v>
      </x:c>
      <x:c r="C15" s="21"/>
      <x:c r="D15" s="21"/>
      <x:c r="E15" s="21"/>
      <x:c r="F15" s="21"/>
      <x:c r="G15" s="21"/>
      <x:c r="H15" s="2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F766E"/>
  </x:sheetPr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6" hidden="0" customWidth="1"/>
    <x:col min="4" max="4" width="36" hidden="0" customWidth="1"/>
    <x:col min="5" max="5" width="20" hidden="0" customWidth="1"/>
    <x:col min="6" max="6" width="14" hidden="0" customWidth="1"/>
    <x:col min="7" max="7" width="15" hidden="0" customWidth="1"/>
    <x:col min="8" max="8" width="18" hidden="0" customWidth="1"/>
    <x:col min="9" max="9" width="25" hidden="0" customWidth="1"/>
    <x:col min="10" max="10" width="20" hidden="0" customWidth="1"/>
    <x:col min="11" max="11" width="14" hidden="0" customWidth="1"/>
    <x:col min="12" max="12" width="21" hidden="0" customWidth="1"/>
    <x:col min="13" max="13" width="17" hidden="0" customWidth="1"/>
    <x:col min="14" max="14" width="20" hidden="0" customWidth="1"/>
  </x:cols>
  <x:sheetData>
    <x:row r="1" ht="32" customHeight="1">
      <x:c r="A1" s="33" t="str">
        <x:v>Organization</x:v>
      </x:c>
      <x:c r="B1" s="34" t="str">
        <x:v>Operational Unit Code</x:v>
      </x:c>
      <x:c r="C1" s="34" t="str">
        <x:v>Distributor Code</x:v>
      </x:c>
      <x:c r="D1" s="34" t="str">
        <x:v>Distributor Name</x:v>
      </x:c>
      <x:c r="E1" s="34" t="str">
        <x:v>Invoice Number</x:v>
      </x:c>
      <x:c r="F1" s="34" t="str">
        <x:v>Invoice Date</x:v>
      </x:c>
      <x:c r="G1" s="34" t="str">
        <x:v>Product Code</x:v>
      </x:c>
      <x:c r="H1" s="34" t="str">
        <x:v>Product Name</x:v>
      </x:c>
      <x:c r="I1" s="34" t="str">
        <x:v>Therapy Area</x:v>
      </x:c>
      <x:c r="J1" s="34" t="str">
        <x:v>Batch Number</x:v>
      </x:c>
      <x:c r="K1" s="34" t="str">
        <x:v>Expiry Date</x:v>
      </x:c>
      <x:c r="L1" s="34" t="str">
        <x:v>Quantity Shipped (Packs)</x:v>
      </x:c>
      <x:c r="M1" s="34" t="str">
        <x:v>Unit Price (INR)</x:v>
      </x:c>
      <x:c r="N1" s="35" t="str">
        <x:v>Invoice Amount (INR)</x:v>
      </x:c>
    </x:row>
    <x:row r="2" ht="22" customHeight="1">
      <x:c r="A2" s="17" t="str">
        <x:v>Micro Labs Limited</x:v>
      </x:c>
      <x:c r="B2" s="17" t="str">
        <x:v>BLR-01</x:v>
      </x:c>
      <x:c r="C2" s="17" t="str">
        <x:v>SYN-D001</x:v>
      </x:c>
      <x:c r="D2" s="17" t="str">
        <x:v>Northgate Pharma Distribution (Sample)</x:v>
      </x:c>
      <x:c r="E2" s="17" t="str">
        <x:v>ML-INV-2026-1001</x:v>
      </x:c>
      <x:c r="F2" s="36" t="d">
        <x:v>2026-10-01T00:00:00.000Z</x:v>
      </x:c>
      <x:c r="G2" s="17" t="str">
        <x:v>ML-D650</x:v>
      </x:c>
      <x:c r="H2" s="17" t="str">
        <x:v>Dolo-650</x:v>
      </x:c>
      <x:c r="I2" s="17" t="str">
        <x:v>Fever &amp; pain management</x:v>
      </x:c>
      <x:c r="J2" s="17" t="str">
        <x:v>SYN-D650-001</x:v>
      </x:c>
      <x:c r="K2" s="36" t="d">
        <x:v>2028-06-30T00:00:00.000Z</x:v>
      </x:c>
      <x:c r="L2" s="18" t="n">
        <x:v>100</x:v>
      </x:c>
      <x:c r="M2" s="19" t="n">
        <x:v>32.5</x:v>
      </x:c>
      <x:c r="N2" s="19" t="n">
        <x:f>L2*M2</x:f>
        <x:v>3250</x:v>
      </x:c>
    </x:row>
    <x:row r="3" ht="22" customHeight="1">
      <x:c r="A3" s="17" t="str">
        <x:v>Micro Labs Limited</x:v>
      </x:c>
      <x:c r="B3" s="17" t="str">
        <x:v>BLR-01</x:v>
      </x:c>
      <x:c r="C3" s="17" t="str">
        <x:v>SYN-D001</x:v>
      </x:c>
      <x:c r="D3" s="17" t="str">
        <x:v>Northgate Pharma Distribution (Sample)</x:v>
      </x:c>
      <x:c r="E3" s="17" t="str">
        <x:v>ML-INV-2026-1002</x:v>
      </x:c>
      <x:c r="F3" s="36" t="d">
        <x:v>2026-10-02T00:00:00.000Z</x:v>
      </x:c>
      <x:c r="G3" s="17" t="str">
        <x:v>ML-D500</x:v>
      </x:c>
      <x:c r="H3" s="17" t="str">
        <x:v>Dolo-500</x:v>
      </x:c>
      <x:c r="I3" s="17" t="str">
        <x:v>Fever &amp; pain management</x:v>
      </x:c>
      <x:c r="J3" s="17" t="str">
        <x:v>SYN-D500-002</x:v>
      </x:c>
      <x:c r="K3" s="36" t="d">
        <x:v>2028-07-30T00:00:00.000Z</x:v>
      </x:c>
      <x:c r="L3" s="18" t="n">
        <x:v>110</x:v>
      </x:c>
      <x:c r="M3" s="19" t="n">
        <x:v>24</x:v>
      </x:c>
      <x:c r="N3" s="19" t="n">
        <x:f>L3*M3</x:f>
        <x:v>2640</x:v>
      </x:c>
    </x:row>
    <x:row r="4" ht="22" customHeight="1">
      <x:c r="A4" s="17" t="str">
        <x:v>Micro Labs Limited</x:v>
      </x:c>
      <x:c r="B4" s="17" t="str">
        <x:v>BLR-01</x:v>
      </x:c>
      <x:c r="C4" s="17" t="str">
        <x:v>SYN-D001</x:v>
      </x:c>
      <x:c r="D4" s="17" t="str">
        <x:v>Northgate Pharma Distribution (Sample)</x:v>
      </x:c>
      <x:c r="E4" s="17" t="str">
        <x:v>ML-INV-2026-1003</x:v>
      </x:c>
      <x:c r="F4" s="36" t="d">
        <x:v>2026-10-03T00:00:00.000Z</x:v>
      </x:c>
      <x:c r="G4" s="17" t="str">
        <x:v>ML-AML</x:v>
      </x:c>
      <x:c r="H4" s="17" t="str">
        <x:v>Amlong</x:v>
      </x:c>
      <x:c r="I4" s="17" t="str">
        <x:v>Cardiology</x:v>
      </x:c>
      <x:c r="J4" s="17" t="str">
        <x:v>SYN-AML-003</x:v>
      </x:c>
      <x:c r="K4" s="36" t="d">
        <x:v>2028-08-30T00:00:00.000Z</x:v>
      </x:c>
      <x:c r="L4" s="18" t="n">
        <x:v>120</x:v>
      </x:c>
      <x:c r="M4" s="19" t="n">
        <x:v>78</x:v>
      </x:c>
      <x:c r="N4" s="19" t="n">
        <x:f>L4*M4</x:f>
        <x:v>9360</x:v>
      </x:c>
    </x:row>
    <x:row r="5" ht="22" customHeight="1">
      <x:c r="A5" s="17" t="str">
        <x:v>Micro Labs Limited</x:v>
      </x:c>
      <x:c r="B5" s="17" t="str">
        <x:v>BLR-01</x:v>
      </x:c>
      <x:c r="C5" s="17" t="str">
        <x:v>SYN-D001</x:v>
      </x:c>
      <x:c r="D5" s="17" t="str">
        <x:v>Northgate Pharma Distribution (Sample)</x:v>
      </x:c>
      <x:c r="E5" s="17" t="str">
        <x:v>ML-INV-2026-1004</x:v>
      </x:c>
      <x:c r="F5" s="36" t="d">
        <x:v>2026-10-04T00:00:00.000Z</x:v>
      </x:c>
      <x:c r="G5" s="17" t="str">
        <x:v>ML-OLM</x:v>
      </x:c>
      <x:c r="H5" s="17" t="str">
        <x:v>Olmat</x:v>
      </x:c>
      <x:c r="I5" s="17" t="str">
        <x:v>Cardiology</x:v>
      </x:c>
      <x:c r="J5" s="17" t="str">
        <x:v>SYN-OLM-004</x:v>
      </x:c>
      <x:c r="K5" s="36" t="d">
        <x:v>2028-09-30T00:00:00.000Z</x:v>
      </x:c>
      <x:c r="L5" s="18" t="n">
        <x:v>130</x:v>
      </x:c>
      <x:c r="M5" s="19" t="n">
        <x:v>112</x:v>
      </x:c>
      <x:c r="N5" s="19" t="n">
        <x:f>L5*M5</x:f>
        <x:v>14560</x:v>
      </x:c>
    </x:row>
    <x:row r="6" ht="22" customHeight="1">
      <x:c r="A6" s="17" t="str">
        <x:v>Micro Labs Limited</x:v>
      </x:c>
      <x:c r="B6" s="17" t="str">
        <x:v>BLR-01</x:v>
      </x:c>
      <x:c r="C6" s="17" t="str">
        <x:v>SYN-D001</x:v>
      </x:c>
      <x:c r="D6" s="17" t="str">
        <x:v>Northgate Pharma Distribution (Sample)</x:v>
      </x:c>
      <x:c r="E6" s="17" t="str">
        <x:v>ML-INV-2026-1005</x:v>
      </x:c>
      <x:c r="F6" s="36" t="d">
        <x:v>2026-10-05T00:00:00.000Z</x:v>
      </x:c>
      <x:c r="G6" s="17" t="str">
        <x:v>ML-AVA</x:v>
      </x:c>
      <x:c r="H6" s="17" t="str">
        <x:v>Avas</x:v>
      </x:c>
      <x:c r="I6" s="17" t="str">
        <x:v>Cardiology</x:v>
      </x:c>
      <x:c r="J6" s="17" t="str">
        <x:v>SYN-AVA-005</x:v>
      </x:c>
      <x:c r="K6" s="36" t="d">
        <x:v>2028-10-30T00:00:00.000Z</x:v>
      </x:c>
      <x:c r="L6" s="18" t="n">
        <x:v>140</x:v>
      </x:c>
      <x:c r="M6" s="19" t="n">
        <x:v>95</x:v>
      </x:c>
      <x:c r="N6" s="19" t="n">
        <x:f>L6*M6</x:f>
        <x:v>13300</x:v>
      </x:c>
    </x:row>
    <x:row r="7" ht="22" customHeight="1">
      <x:c r="A7" s="17" t="str">
        <x:v>Micro Labs Limited</x:v>
      </x:c>
      <x:c r="B7" s="17" t="str">
        <x:v>BLR-01</x:v>
      </x:c>
      <x:c r="C7" s="17" t="str">
        <x:v>SYN-D001</x:v>
      </x:c>
      <x:c r="D7" s="17" t="str">
        <x:v>Northgate Pharma Distribution (Sample)</x:v>
      </x:c>
      <x:c r="E7" s="17" t="str">
        <x:v>ML-INV-2026-1006</x:v>
      </x:c>
      <x:c r="F7" s="36" t="d">
        <x:v>2026-10-06T00:00:00.000Z</x:v>
      </x:c>
      <x:c r="G7" s="17" t="str">
        <x:v>ML-ARB</x:v>
      </x:c>
      <x:c r="H7" s="17" t="str">
        <x:v>Arbitel</x:v>
      </x:c>
      <x:c r="I7" s="17" t="str">
        <x:v>Cardiology</x:v>
      </x:c>
      <x:c r="J7" s="17" t="str">
        <x:v>SYN-ARB-006</x:v>
      </x:c>
      <x:c r="K7" s="36" t="d">
        <x:v>2028-11-30T00:00:00.000Z</x:v>
      </x:c>
      <x:c r="L7" s="18" t="n">
        <x:v>150</x:v>
      </x:c>
      <x:c r="M7" s="19" t="n">
        <x:v>128</x:v>
      </x:c>
      <x:c r="N7" s="19" t="n">
        <x:f>L7*M7</x:f>
        <x:v>19200</x:v>
      </x:c>
    </x:row>
    <x:row r="8" ht="22" customHeight="1">
      <x:c r="A8" s="17" t="str">
        <x:v>Micro Labs Limited</x:v>
      </x:c>
      <x:c r="B8" s="17" t="str">
        <x:v>BLR-01</x:v>
      </x:c>
      <x:c r="C8" s="17" t="str">
        <x:v>SYN-D001</x:v>
      </x:c>
      <x:c r="D8" s="17" t="str">
        <x:v>Northgate Pharma Distribution (Sample)</x:v>
      </x:c>
      <x:c r="E8" s="17" t="str">
        <x:v>ML-INV-2026-1007</x:v>
      </x:c>
      <x:c r="F8" s="36" t="d">
        <x:v>2026-10-07T00:00:00.000Z</x:v>
      </x:c>
      <x:c r="G8" s="17" t="str">
        <x:v>ML-VIL</x:v>
      </x:c>
      <x:c r="H8" s="17" t="str">
        <x:v>Vildapride</x:v>
      </x:c>
      <x:c r="I8" s="17" t="str">
        <x:v>Diabetology</x:v>
      </x:c>
      <x:c r="J8" s="17" t="str">
        <x:v>SYN-VIL-007</x:v>
      </x:c>
      <x:c r="K8" s="36" t="d">
        <x:v>2028-06-30T00:00:00.000Z</x:v>
      </x:c>
      <x:c r="L8" s="18" t="n">
        <x:v>160</x:v>
      </x:c>
      <x:c r="M8" s="19" t="n">
        <x:v>146</x:v>
      </x:c>
      <x:c r="N8" s="19" t="n">
        <x:f>L8*M8</x:f>
        <x:v>23360</x:v>
      </x:c>
    </x:row>
    <x:row r="9" ht="22" customHeight="1">
      <x:c r="A9" s="17" t="str">
        <x:v>Micro Labs Limited</x:v>
      </x:c>
      <x:c r="B9" s="17" t="str">
        <x:v>BLR-01</x:v>
      </x:c>
      <x:c r="C9" s="17" t="str">
        <x:v>SYN-D001</x:v>
      </x:c>
      <x:c r="D9" s="17" t="str">
        <x:v>Northgate Pharma Distribution (Sample)</x:v>
      </x:c>
      <x:c r="E9" s="17" t="str">
        <x:v>ML-INV-2026-1008</x:v>
      </x:c>
      <x:c r="F9" s="36" t="d">
        <x:v>2026-10-08T00:00:00.000Z</x:v>
      </x:c>
      <x:c r="G9" s="17" t="str">
        <x:v>ML-DIA</x:v>
      </x:c>
      <x:c r="H9" s="17" t="str">
        <x:v>Diapride</x:v>
      </x:c>
      <x:c r="I9" s="17" t="str">
        <x:v>Diabetology</x:v>
      </x:c>
      <x:c r="J9" s="17" t="str">
        <x:v>SYN-DIA-008</x:v>
      </x:c>
      <x:c r="K9" s="36" t="d">
        <x:v>2028-07-30T00:00:00.000Z</x:v>
      </x:c>
      <x:c r="L9" s="18" t="n">
        <x:v>170</x:v>
      </x:c>
      <x:c r="M9" s="19" t="n">
        <x:v>88</x:v>
      </x:c>
      <x:c r="N9" s="19" t="n">
        <x:f>L9*M9</x:f>
        <x:v>14960</x:v>
      </x:c>
    </x:row>
    <x:row r="10" ht="22" customHeight="1">
      <x:c r="A10" s="17" t="str">
        <x:v>Micro Labs Limited</x:v>
      </x:c>
      <x:c r="B10" s="17" t="str">
        <x:v>BLR-01</x:v>
      </x:c>
      <x:c r="C10" s="17" t="str">
        <x:v>SYN-D001</x:v>
      </x:c>
      <x:c r="D10" s="17" t="str">
        <x:v>Northgate Pharma Distribution (Sample)</x:v>
      </x:c>
      <x:c r="E10" s="17" t="str">
        <x:v>ML-INV-2026-1009</x:v>
      </x:c>
      <x:c r="F10" s="36" t="d">
        <x:v>2026-10-09T00:00:00.000Z</x:v>
      </x:c>
      <x:c r="G10" s="17" t="str">
        <x:v>ML-ZUC</x:v>
      </x:c>
      <x:c r="H10" s="17" t="str">
        <x:v>Zucapride</x:v>
      </x:c>
      <x:c r="I10" s="17" t="str">
        <x:v>Diabetology</x:v>
      </x:c>
      <x:c r="J10" s="17" t="str">
        <x:v>SYN-ZUC-009</x:v>
      </x:c>
      <x:c r="K10" s="36" t="d">
        <x:v>2028-08-30T00:00:00.000Z</x:v>
      </x:c>
      <x:c r="L10" s="18" t="n">
        <x:v>180</x:v>
      </x:c>
      <x:c r="M10" s="19" t="n">
        <x:v>138</x:v>
      </x:c>
      <x:c r="N10" s="19" t="n">
        <x:f>L10*M10</x:f>
        <x:v>24840</x:v>
      </x:c>
    </x:row>
    <x:row r="11" ht="22" customHeight="1">
      <x:c r="A11" s="17" t="str">
        <x:v>Micro Labs Limited</x:v>
      </x:c>
      <x:c r="B11" s="17" t="str">
        <x:v>BLR-01</x:v>
      </x:c>
      <x:c r="C11" s="17" t="str">
        <x:v>SYN-D001</x:v>
      </x:c>
      <x:c r="D11" s="17" t="str">
        <x:v>Northgate Pharma Distribution (Sample)</x:v>
      </x:c>
      <x:c r="E11" s="17" t="str">
        <x:v>ML-INV-2026-1010</x:v>
      </x:c>
      <x:c r="F11" s="36" t="d">
        <x:v>2026-10-10T00:00:00.000Z</x:v>
      </x:c>
      <x:c r="G11" s="17" t="str">
        <x:v>ML-TEN</x:v>
      </x:c>
      <x:c r="H11" s="17" t="str">
        <x:v>Tenepride</x:v>
      </x:c>
      <x:c r="I11" s="17" t="str">
        <x:v>Diabetology</x:v>
      </x:c>
      <x:c r="J11" s="17" t="str">
        <x:v>SYN-TEN-010</x:v>
      </x:c>
      <x:c r="K11" s="36" t="d">
        <x:v>2028-09-30T00:00:00.000Z</x:v>
      </x:c>
      <x:c r="L11" s="18" t="n">
        <x:v>190</x:v>
      </x:c>
      <x:c r="M11" s="19" t="n">
        <x:v>118</x:v>
      </x:c>
      <x:c r="N11" s="19" t="n">
        <x:f>L11*M11</x:f>
        <x:v>22420</x:v>
      </x:c>
    </x:row>
    <x:row r="12" ht="22" customHeight="1">
      <x:c r="A12" s="17" t="str">
        <x:v>Micro Labs Limited</x:v>
      </x:c>
      <x:c r="B12" s="17" t="str">
        <x:v>BLR-01</x:v>
      </x:c>
      <x:c r="C12" s="17" t="str">
        <x:v>SYN-D002</x:v>
      </x:c>
      <x:c r="D12" s="17" t="str">
        <x:v>Apex Health Supply (Sample)</x:v>
      </x:c>
      <x:c r="E12" s="17" t="str">
        <x:v>ML-INV-2026-1011</x:v>
      </x:c>
      <x:c r="F12" s="36" t="d">
        <x:v>2026-10-11T00:00:00.000Z</x:v>
      </x:c>
      <x:c r="G12" s="17" t="str">
        <x:v>ML-D650</x:v>
      </x:c>
      <x:c r="H12" s="17" t="str">
        <x:v>Dolo-650</x:v>
      </x:c>
      <x:c r="I12" s="17" t="str">
        <x:v>Fever &amp; pain management</x:v>
      </x:c>
      <x:c r="J12" s="17" t="str">
        <x:v>SYN-D650-011</x:v>
      </x:c>
      <x:c r="K12" s="36" t="d">
        <x:v>2028-10-30T00:00:00.000Z</x:v>
      </x:c>
      <x:c r="L12" s="18" t="n">
        <x:v>80</x:v>
      </x:c>
      <x:c r="M12" s="19" t="n">
        <x:v>32.5</x:v>
      </x:c>
      <x:c r="N12" s="19" t="n">
        <x:f>L12*M12</x:f>
        <x:v>2600</x:v>
      </x:c>
    </x:row>
    <x:row r="13" ht="22" customHeight="1">
      <x:c r="A13" s="17" t="str">
        <x:v>Micro Labs Limited</x:v>
      </x:c>
      <x:c r="B13" s="17" t="str">
        <x:v>BLR-01</x:v>
      </x:c>
      <x:c r="C13" s="17" t="str">
        <x:v>SYN-D003</x:v>
      </x:c>
      <x:c r="D13" s="17" t="str">
        <x:v>Meridian Medical Distribution (Sample)</x:v>
      </x:c>
      <x:c r="E13" s="17" t="str">
        <x:v>ML-INV-2026-1012</x:v>
      </x:c>
      <x:c r="F13" s="36" t="d">
        <x:v>2026-10-12T00:00:00.000Z</x:v>
      </x:c>
      <x:c r="G13" s="17" t="str">
        <x:v>ML-D500</x:v>
      </x:c>
      <x:c r="H13" s="17" t="str">
        <x:v>Dolo-500</x:v>
      </x:c>
      <x:c r="I13" s="17" t="str">
        <x:v>Fever &amp; pain management</x:v>
      </x:c>
      <x:c r="J13" s="17" t="str">
        <x:v>SYN-D500-012</x:v>
      </x:c>
      <x:c r="K13" s="36" t="d">
        <x:v>2028-11-30T00:00:00.000Z</x:v>
      </x:c>
      <x:c r="L13" s="18" t="n">
        <x:v>85</x:v>
      </x:c>
      <x:c r="M13" s="19" t="n">
        <x:v>24</x:v>
      </x:c>
      <x:c r="N13" s="19" t="n">
        <x:f>L13*M13</x:f>
        <x:v>2040</x:v>
      </x:c>
    </x:row>
    <x:row r="14" ht="22" customHeight="1">
      <x:c r="A14" s="17" t="str">
        <x:v>Micro Labs Limited</x:v>
      </x:c>
      <x:c r="B14" s="17" t="str">
        <x:v>BLR-01</x:v>
      </x:c>
      <x:c r="C14" s="17" t="str">
        <x:v>SYN-D004</x:v>
      </x:c>
      <x:c r="D14" s="17" t="str">
        <x:v>Sapphire Drug Distribution (Sample)</x:v>
      </x:c>
      <x:c r="E14" s="17" t="str">
        <x:v>ML-INV-2026-1013</x:v>
      </x:c>
      <x:c r="F14" s="36" t="d">
        <x:v>2026-10-13T00:00:00.000Z</x:v>
      </x:c>
      <x:c r="G14" s="17" t="str">
        <x:v>ML-AML</x:v>
      </x:c>
      <x:c r="H14" s="17" t="str">
        <x:v>Amlong</x:v>
      </x:c>
      <x:c r="I14" s="17" t="str">
        <x:v>Cardiology</x:v>
      </x:c>
      <x:c r="J14" s="17" t="str">
        <x:v>SYN-AML-013</x:v>
      </x:c>
      <x:c r="K14" s="36" t="d">
        <x:v>2028-06-30T00:00:00.000Z</x:v>
      </x:c>
      <x:c r="L14" s="18" t="n">
        <x:v>90</x:v>
      </x:c>
      <x:c r="M14" s="19" t="n">
        <x:v>78</x:v>
      </x:c>
      <x:c r="N14" s="19" t="n">
        <x:f>L14*M14</x:f>
        <x:v>7020</x:v>
      </x:c>
    </x:row>
    <x:row r="15" ht="22" customHeight="1">
      <x:c r="A15" s="17" t="str">
        <x:v>Micro Labs Limited</x:v>
      </x:c>
      <x:c r="B15" s="17" t="str">
        <x:v>BLR-01</x:v>
      </x:c>
      <x:c r="C15" s="17" t="str">
        <x:v>SYN-D005</x:v>
      </x:c>
      <x:c r="D15" s="17" t="str">
        <x:v>Eastern Care Supply (Sample)</x:v>
      </x:c>
      <x:c r="E15" s="17" t="str">
        <x:v>ML-INV-2026-1014</x:v>
      </x:c>
      <x:c r="F15" s="36" t="d">
        <x:v>2026-10-14T00:00:00.000Z</x:v>
      </x:c>
      <x:c r="G15" s="17" t="str">
        <x:v>ML-OLM</x:v>
      </x:c>
      <x:c r="H15" s="17" t="str">
        <x:v>Olmat</x:v>
      </x:c>
      <x:c r="I15" s="17" t="str">
        <x:v>Cardiology</x:v>
      </x:c>
      <x:c r="J15" s="17" t="str">
        <x:v>SYN-OLM-014</x:v>
      </x:c>
      <x:c r="K15" s="36" t="d">
        <x:v>2028-07-30T00:00:00.000Z</x:v>
      </x:c>
      <x:c r="L15" s="18" t="n">
        <x:v>95</x:v>
      </x:c>
      <x:c r="M15" s="19" t="n">
        <x:v>112</x:v>
      </x:c>
      <x:c r="N15" s="19" t="n">
        <x:f>L15*M15</x:f>
        <x:v>10640</x:v>
      </x:c>
    </x:row>
    <x:row r="16" ht="22" customHeight="1">
      <x:c r="A16" s="17" t="str">
        <x:v>Micro Labs Limited</x:v>
      </x:c>
      <x:c r="B16" s="17" t="str">
        <x:v>BLR-01</x:v>
      </x:c>
      <x:c r="C16" s="17" t="str">
        <x:v>SYN-D002</x:v>
      </x:c>
      <x:c r="D16" s="17" t="str">
        <x:v>Apex Health Supply (Sample)</x:v>
      </x:c>
      <x:c r="E16" s="17" t="str">
        <x:v>ML-INV-2026-1015</x:v>
      </x:c>
      <x:c r="F16" s="36" t="d">
        <x:v>2026-10-15T00:00:00.000Z</x:v>
      </x:c>
      <x:c r="G16" s="17" t="str">
        <x:v>ML-AVA</x:v>
      </x:c>
      <x:c r="H16" s="17" t="str">
        <x:v>Avas</x:v>
      </x:c>
      <x:c r="I16" s="17" t="str">
        <x:v>Cardiology</x:v>
      </x:c>
      <x:c r="J16" s="17" t="str">
        <x:v>SYN-AVA-015</x:v>
      </x:c>
      <x:c r="K16" s="36" t="d">
        <x:v>2028-08-30T00:00:00.000Z</x:v>
      </x:c>
      <x:c r="L16" s="18" t="n">
        <x:v>100</x:v>
      </x:c>
      <x:c r="M16" s="19" t="n">
        <x:v>95</x:v>
      </x:c>
      <x:c r="N16" s="19" t="n">
        <x:f>L16*M16</x:f>
        <x:v>9500</x:v>
      </x:c>
    </x:row>
    <x:row r="17" ht="22" customHeight="1">
      <x:c r="A17" s="17" t="str">
        <x:v>Micro Labs Limited</x:v>
      </x:c>
      <x:c r="B17" s="17" t="str">
        <x:v>BLR-01</x:v>
      </x:c>
      <x:c r="C17" s="17" t="str">
        <x:v>SYN-D003</x:v>
      </x:c>
      <x:c r="D17" s="17" t="str">
        <x:v>Meridian Medical Distribution (Sample)</x:v>
      </x:c>
      <x:c r="E17" s="17" t="str">
        <x:v>ML-INV-2026-1016</x:v>
      </x:c>
      <x:c r="F17" s="36" t="d">
        <x:v>2026-10-16T00:00:00.000Z</x:v>
      </x:c>
      <x:c r="G17" s="17" t="str">
        <x:v>ML-ARB</x:v>
      </x:c>
      <x:c r="H17" s="17" t="str">
        <x:v>Arbitel</x:v>
      </x:c>
      <x:c r="I17" s="17" t="str">
        <x:v>Cardiology</x:v>
      </x:c>
      <x:c r="J17" s="17" t="str">
        <x:v>SYN-ARB-016</x:v>
      </x:c>
      <x:c r="K17" s="36" t="d">
        <x:v>2028-09-30T00:00:00.000Z</x:v>
      </x:c>
      <x:c r="L17" s="18" t="n">
        <x:v>105</x:v>
      </x:c>
      <x:c r="M17" s="19" t="n">
        <x:v>128</x:v>
      </x:c>
      <x:c r="N17" s="19" t="n">
        <x:f>L17*M17</x:f>
        <x:v>13440</x:v>
      </x:c>
    </x:row>
    <x:row r="18" ht="22" customHeight="1">
      <x:c r="A18" s="17" t="str">
        <x:v>Micro Labs Limited</x:v>
      </x:c>
      <x:c r="B18" s="17" t="str">
        <x:v>BLR-01</x:v>
      </x:c>
      <x:c r="C18" s="17" t="str">
        <x:v>SYN-D004</x:v>
      </x:c>
      <x:c r="D18" s="17" t="str">
        <x:v>Sapphire Drug Distribution (Sample)</x:v>
      </x:c>
      <x:c r="E18" s="17" t="str">
        <x:v>ML-INV-2026-1017</x:v>
      </x:c>
      <x:c r="F18" s="36" t="d">
        <x:v>2026-10-17T00:00:00.000Z</x:v>
      </x:c>
      <x:c r="G18" s="17" t="str">
        <x:v>ML-VIL</x:v>
      </x:c>
      <x:c r="H18" s="17" t="str">
        <x:v>Vildapride</x:v>
      </x:c>
      <x:c r="I18" s="17" t="str">
        <x:v>Diabetology</x:v>
      </x:c>
      <x:c r="J18" s="17" t="str">
        <x:v>SYN-VIL-017</x:v>
      </x:c>
      <x:c r="K18" s="36" t="d">
        <x:v>2028-10-30T00:00:00.000Z</x:v>
      </x:c>
      <x:c r="L18" s="18" t="n">
        <x:v>110</x:v>
      </x:c>
      <x:c r="M18" s="19" t="n">
        <x:v>146</x:v>
      </x:c>
      <x:c r="N18" s="19" t="n">
        <x:f>L18*M18</x:f>
        <x:v>16060</x:v>
      </x:c>
    </x:row>
    <x:row r="19" ht="22" customHeight="1">
      <x:c r="A19" s="17" t="str">
        <x:v>Micro Labs Limited</x:v>
      </x:c>
      <x:c r="B19" s="17" t="str">
        <x:v>BLR-01</x:v>
      </x:c>
      <x:c r="C19" s="17" t="str">
        <x:v>SYN-D005</x:v>
      </x:c>
      <x:c r="D19" s="17" t="str">
        <x:v>Eastern Care Supply (Sample)</x:v>
      </x:c>
      <x:c r="E19" s="17" t="str">
        <x:v>ML-INV-2026-1018</x:v>
      </x:c>
      <x:c r="F19" s="36" t="d">
        <x:v>2026-10-18T00:00:00.000Z</x:v>
      </x:c>
      <x:c r="G19" s="17" t="str">
        <x:v>ML-DIA</x:v>
      </x:c>
      <x:c r="H19" s="17" t="str">
        <x:v>Diapride</x:v>
      </x:c>
      <x:c r="I19" s="17" t="str">
        <x:v>Diabetology</x:v>
      </x:c>
      <x:c r="J19" s="17" t="str">
        <x:v>SYN-DIA-018</x:v>
      </x:c>
      <x:c r="K19" s="36" t="d">
        <x:v>2028-11-30T00:00:00.000Z</x:v>
      </x:c>
      <x:c r="L19" s="18" t="n">
        <x:v>115</x:v>
      </x:c>
      <x:c r="M19" s="19" t="n">
        <x:v>88</x:v>
      </x:c>
      <x:c r="N19" s="19" t="n">
        <x:f>L19*M19</x:f>
        <x:v>10120</x:v>
      </x:c>
    </x:row>
    <x:row r="20" ht="22" customHeight="1">
      <x:c r="A20" s="17" t="str">
        <x:v>Micro Labs Limited</x:v>
      </x:c>
      <x:c r="B20" s="17" t="str">
        <x:v>BLR-01</x:v>
      </x:c>
      <x:c r="C20" s="17" t="str">
        <x:v>SYN-D002</x:v>
      </x:c>
      <x:c r="D20" s="17" t="str">
        <x:v>Apex Health Supply (Sample)</x:v>
      </x:c>
      <x:c r="E20" s="17" t="str">
        <x:v>ML-INV-2026-1019</x:v>
      </x:c>
      <x:c r="F20" s="36" t="d">
        <x:v>2026-10-19T00:00:00.000Z</x:v>
      </x:c>
      <x:c r="G20" s="17" t="str">
        <x:v>ML-ZUC</x:v>
      </x:c>
      <x:c r="H20" s="17" t="str">
        <x:v>Zucapride</x:v>
      </x:c>
      <x:c r="I20" s="17" t="str">
        <x:v>Diabetology</x:v>
      </x:c>
      <x:c r="J20" s="17" t="str">
        <x:v>SYN-ZUC-019</x:v>
      </x:c>
      <x:c r="K20" s="36" t="d">
        <x:v>2028-06-30T00:00:00.000Z</x:v>
      </x:c>
      <x:c r="L20" s="18" t="n">
        <x:v>120</x:v>
      </x:c>
      <x:c r="M20" s="19" t="n">
        <x:v>138</x:v>
      </x:c>
      <x:c r="N20" s="19" t="n">
        <x:f>L20*M20</x:f>
        <x:v>16560</x:v>
      </x:c>
    </x:row>
    <x:row r="21" ht="22" customHeight="1">
      <x:c r="A21" s="17" t="str">
        <x:v>Micro Labs Limited</x:v>
      </x:c>
      <x:c r="B21" s="17" t="str">
        <x:v>BLR-01</x:v>
      </x:c>
      <x:c r="C21" s="17" t="str">
        <x:v>SYN-D003</x:v>
      </x:c>
      <x:c r="D21" s="17" t="str">
        <x:v>Meridian Medical Distribution (Sample)</x:v>
      </x:c>
      <x:c r="E21" s="17" t="str">
        <x:v>ML-INV-2026-1020</x:v>
      </x:c>
      <x:c r="F21" s="36" t="d">
        <x:v>2026-10-20T00:00:00.000Z</x:v>
      </x:c>
      <x:c r="G21" s="17" t="str">
        <x:v>ML-TEN</x:v>
      </x:c>
      <x:c r="H21" s="17" t="str">
        <x:v>Tenepride</x:v>
      </x:c>
      <x:c r="I21" s="17" t="str">
        <x:v>Diabetology</x:v>
      </x:c>
      <x:c r="J21" s="17" t="str">
        <x:v>SYN-TEN-020</x:v>
      </x:c>
      <x:c r="K21" s="36" t="d">
        <x:v>2028-07-30T00:00:00.000Z</x:v>
      </x:c>
      <x:c r="L21" s="18" t="n">
        <x:v>125</x:v>
      </x:c>
      <x:c r="M21" s="19" t="n">
        <x:v>118</x:v>
      </x:c>
      <x:c r="N21" s="19" t="n">
        <x:f>L21*M21</x:f>
        <x:v>14750</x:v>
      </x:c>
    </x:row>
  </x:sheetData>
  <x:pageMargins left="0.7" right="0.7" top="0.75" bottom="0.75" header="0.3" footer="0.3"/>
  <x:tableParts count="1">
    <x:tablePart xmlns:r="http://schemas.openxmlformats.org/officeDocument/2006/relationships" r:id="R3db3a2781b88424a"/>
  </x:tableParts>
</x:worksheet>
</file>